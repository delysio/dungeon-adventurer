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27960" windowHeight="12855"/>
  </bookViews>
  <sheets>
    <sheet name="Arkusz1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O19" i="1"/>
  <c r="M20" s="1"/>
  <c r="O20" s="1"/>
  <c r="M21" s="1"/>
  <c r="O21" s="1"/>
  <c r="O22" s="1"/>
  <c r="E4"/>
  <c r="C5" s="1"/>
  <c r="O14"/>
  <c r="O12"/>
  <c r="M13" s="1"/>
  <c r="O13" s="1"/>
  <c r="O6"/>
  <c r="M7" s="1"/>
  <c r="J16"/>
  <c r="J15"/>
  <c r="J14"/>
  <c r="I13"/>
  <c r="J13" s="1"/>
  <c r="J12"/>
  <c r="J6"/>
  <c r="H7" s="1"/>
  <c r="J7" s="1"/>
  <c r="E24"/>
  <c r="C25" s="1"/>
  <c r="E25" s="1"/>
  <c r="C26" s="1"/>
  <c r="E26" s="1"/>
  <c r="C27" s="1"/>
  <c r="E27" s="1"/>
  <c r="C28" s="1"/>
  <c r="E28" s="1"/>
  <c r="E5" l="1"/>
  <c r="C6" s="1"/>
  <c r="O7"/>
  <c r="C29"/>
  <c r="E29" s="1"/>
  <c r="C30" s="1"/>
  <c r="E30" s="1"/>
  <c r="E6" l="1"/>
  <c r="C7" s="1"/>
  <c r="C31"/>
  <c r="E31" s="1"/>
  <c r="C32" s="1"/>
  <c r="E32" s="1"/>
  <c r="C33" s="1"/>
  <c r="E33" s="1"/>
  <c r="C34" s="1"/>
  <c r="E34" s="1"/>
  <c r="C35" s="1"/>
  <c r="E7" l="1"/>
  <c r="C8" s="1"/>
  <c r="E35"/>
  <c r="C36" s="1"/>
  <c r="E36" s="1"/>
  <c r="E8" l="1"/>
  <c r="C9" l="1"/>
  <c r="E9" s="1"/>
  <c r="C10" l="1"/>
  <c r="E10" s="1"/>
  <c r="C11" l="1"/>
  <c r="E11" s="1"/>
  <c r="C12" l="1"/>
  <c r="E12" s="1"/>
  <c r="C13" l="1"/>
  <c r="E13" s="1"/>
  <c r="C14" s="1"/>
  <c r="E14" s="1"/>
  <c r="C15" s="1"/>
  <c r="E15" s="1"/>
  <c r="C16" s="1"/>
  <c r="E16" s="1"/>
  <c r="C17" s="1"/>
  <c r="E17" s="1"/>
  <c r="C18" l="1"/>
  <c r="E18" s="1"/>
  <c r="C19" l="1"/>
  <c r="E19" s="1"/>
  <c r="C20" l="1"/>
  <c r="E20" s="1"/>
  <c r="C21" l="1"/>
  <c r="E21" s="1"/>
  <c r="C22" s="1"/>
  <c r="E22" s="1"/>
  <c r="C23" s="1"/>
  <c r="E23" s="1"/>
</calcChain>
</file>

<file path=xl/sharedStrings.xml><?xml version="1.0" encoding="utf-8"?>
<sst xmlns="http://schemas.openxmlformats.org/spreadsheetml/2006/main" count="99" uniqueCount="74">
  <si>
    <t>TITLE FONT</t>
  </si>
  <si>
    <t>START</t>
  </si>
  <si>
    <t>SIZE</t>
  </si>
  <si>
    <t>END</t>
  </si>
  <si>
    <t>TITLE DATA</t>
  </si>
  <si>
    <t>ASSET NAME</t>
  </si>
  <si>
    <t>TITLE</t>
  </si>
  <si>
    <t>SCREEN_DISP</t>
  </si>
  <si>
    <t>SCREEN_DATA</t>
  </si>
  <si>
    <t>GAME</t>
  </si>
  <si>
    <t>GAME_FONT</t>
  </si>
  <si>
    <t>PANEL DATA</t>
  </si>
  <si>
    <t>PANEL SRC</t>
  </si>
  <si>
    <t>9C00</t>
  </si>
  <si>
    <t>9D00</t>
  </si>
  <si>
    <t>HELP</t>
  </si>
  <si>
    <t>HELP FONT</t>
  </si>
  <si>
    <t>HELP DATA</t>
  </si>
  <si>
    <t>PICTURE FONT</t>
  </si>
  <si>
    <t>PICTURE DATA</t>
  </si>
  <si>
    <t>PICTURE TEXT FONT</t>
  </si>
  <si>
    <t>DEATH</t>
  </si>
  <si>
    <t>CODE ENDS AT</t>
  </si>
  <si>
    <t>PMBASE</t>
  </si>
  <si>
    <t>A000</t>
  </si>
  <si>
    <t>PMBASE MISSILES</t>
  </si>
  <si>
    <t>A400</t>
  </si>
  <si>
    <t>PMBASE PLAYER 0</t>
  </si>
  <si>
    <t>A500</t>
  </si>
  <si>
    <t>PMBASE PLAYER 1</t>
  </si>
  <si>
    <t>PMBASE PLAYER 2</t>
  </si>
  <si>
    <t>PMBASE PLAYER 3</t>
  </si>
  <si>
    <t>A600</t>
  </si>
  <si>
    <t>A700</t>
  </si>
  <si>
    <t>A800</t>
  </si>
  <si>
    <t>A300</t>
  </si>
  <si>
    <t>FREE</t>
  </si>
  <si>
    <t>LEVEL_01</t>
  </si>
  <si>
    <t>LEVEL_02</t>
  </si>
  <si>
    <t>LEVEL_03</t>
  </si>
  <si>
    <t>LEVEL_04</t>
  </si>
  <si>
    <t>LEVEL_05</t>
  </si>
  <si>
    <t>LEVEL_06</t>
  </si>
  <si>
    <t>LEVEL_07</t>
  </si>
  <si>
    <t>LEVEL_08</t>
  </si>
  <si>
    <t>LEVEL_09</t>
  </si>
  <si>
    <t>LEVEL_10</t>
  </si>
  <si>
    <t>PAK_TITLE_FONT</t>
  </si>
  <si>
    <t>PAK_TITLE_DATA</t>
  </si>
  <si>
    <t>PAK_LEVEL_FONT</t>
  </si>
  <si>
    <t>PAK_DEATH_FONT</t>
  </si>
  <si>
    <t>PAK_DEATH_DATA</t>
  </si>
  <si>
    <t>PAK_TEXT_FONT</t>
  </si>
  <si>
    <t>PAK_PANEL</t>
  </si>
  <si>
    <t>PAK_END_DATA</t>
  </si>
  <si>
    <t>PAK_END_FONT</t>
  </si>
  <si>
    <t>CONGRATS</t>
  </si>
  <si>
    <t>PICTURE_TEXT_DATA</t>
  </si>
  <si>
    <t>PAK_END_STORY</t>
  </si>
  <si>
    <t>PAK_GAME_OVER_TEXT</t>
  </si>
  <si>
    <t>PAK_INSTRUCTION_TEXT_PAGE_1</t>
  </si>
  <si>
    <t>PAK_INSTRUCTION_TEXT_PAGE_2</t>
  </si>
  <si>
    <t>3B4D</t>
  </si>
  <si>
    <t>LEVEL_11</t>
  </si>
  <si>
    <t>LEVEL_12</t>
  </si>
  <si>
    <t>LEVEL_13</t>
  </si>
  <si>
    <t>LEVEL_14</t>
  </si>
  <si>
    <t>LEVEL_15</t>
  </si>
  <si>
    <t>LEVEL_16</t>
  </si>
  <si>
    <t>LEVEL_17</t>
  </si>
  <si>
    <t>LEVEL_18</t>
  </si>
  <si>
    <t>LEVEL_19</t>
  </si>
  <si>
    <t>LEVEL_20</t>
  </si>
  <si>
    <t xml:space="preserve">LEVEL_01 = $6000;_x000D_
LEVEL_02 = $6098;_x000D_
LEVEL_03 = $6133;_x000D_
LEVEL_04 = $61D2;_x000D_
LEVEL_05 = $626A;_x000D_
LEVEL_06 = $6303;_x000D_
LEVEL_07 = $639C;_x000D_
LEVEL_08 = $6432;_x000D_
LEVEL_09 = $64CD;_x000D_
LEVEL_10 = $6569;_x000D_
LEVEL_11 = $6606;_x000D_
LEVEL_12 = $669C;_x000D_
LEVEL_13 = $6736;_x000D_
LEVEL_14 = $67D0;_x000D_
LEVEL_15 = $6866;_x000D_
LEVEL_16 = $68F9;_x000D_
LEVEL_17 = $6992;_x000D_
LEVEL_18 = $6A2D;_x000D_
LEVEL_19 = $6AC7;_x000D_
LEVEL_20 = $6B60;_x000D_
PAK_TITLE_FONT = $7000;_x000D_
PAK_TITLE_DATA = $78FD;_x000D_
PAK_LEVEL_FONT = $7B1C;_x000D_
PAK_DEATH_FONT = $7D66;_x000D_
PAK_DEATH_DATA = $809D;_x000D_
PAK_TEXT_FONT = $8187;_x000D_
PAK_PANEL = $8419;_x000D_
PAK_END_DATA = $8434;_x000D_
PAK_END_FONT = $859C;_x000D_
PAK_END_STORY = $8817;_x000D_
PAK_GAME_OVER_TEXT = $8AB3;_x000D_
PAK_INSTRUCTION_TEXT_PAGE_1 = $8B65;_x000D_
PAK_INSTRUCTION_TEXT_PAGE_2 = $8D1F;_x000D_
</t>
  </si>
</sst>
</file>

<file path=xl/styles.xml><?xml version="1.0" encoding="utf-8"?>
<styleSheet xmlns="http://schemas.openxmlformats.org/spreadsheetml/2006/main">
  <fonts count="6">
    <font>
      <sz val="11"/>
      <color theme="1"/>
      <name val="Czcionka tekstu podstawowego"/>
      <family val="2"/>
      <charset val="238"/>
    </font>
    <font>
      <sz val="11"/>
      <color theme="1"/>
      <name val="Courier New"/>
      <family val="3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000000"/>
      <name val="Czcionka tekstu podstawowego"/>
    </font>
    <font>
      <sz val="8"/>
      <color rgb="FF000000"/>
      <name val="Czcionka tekstu podstawowego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 applyAlignment="1">
      <alignment horizontal="right"/>
    </xf>
    <xf numFmtId="0" fontId="3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O76"/>
  <sheetViews>
    <sheetView tabSelected="1" topLeftCell="A7" workbookViewId="0">
      <selection activeCell="D26" sqref="D26"/>
    </sheetView>
  </sheetViews>
  <sheetFormatPr defaultRowHeight="14.25"/>
  <cols>
    <col min="2" max="2" width="44.625" customWidth="1"/>
    <col min="4" max="4" width="9" style="1"/>
    <col min="5" max="5" width="9.25" bestFit="1" customWidth="1"/>
    <col min="7" max="7" width="18.25" bestFit="1" customWidth="1"/>
    <col min="11" max="11" width="3.5" customWidth="1"/>
    <col min="12" max="12" width="20.5" bestFit="1" customWidth="1"/>
  </cols>
  <sheetData>
    <row r="1" spans="2:15" ht="15">
      <c r="B1" s="6" t="s">
        <v>22</v>
      </c>
      <c r="C1" s="3" t="s">
        <v>62</v>
      </c>
    </row>
    <row r="3" spans="2:15" s="5" customFormat="1" ht="18.75">
      <c r="B3" s="6" t="s">
        <v>5</v>
      </c>
      <c r="C3" s="6" t="s">
        <v>1</v>
      </c>
      <c r="D3" s="7" t="s">
        <v>2</v>
      </c>
      <c r="E3" s="6" t="s">
        <v>3</v>
      </c>
      <c r="G3" s="9" t="s">
        <v>6</v>
      </c>
      <c r="L3" s="9" t="s">
        <v>15</v>
      </c>
    </row>
    <row r="4" spans="2:15" s="2" customFormat="1" ht="15">
      <c r="B4" s="2" t="s">
        <v>37</v>
      </c>
      <c r="C4" s="3">
        <v>6000</v>
      </c>
      <c r="D4" s="3">
        <v>151</v>
      </c>
      <c r="E4" s="4" t="str">
        <f>DEC2HEX(HEX2DEC(C4) +D4)</f>
        <v>6097</v>
      </c>
    </row>
    <row r="5" spans="2:15" s="2" customFormat="1" ht="15">
      <c r="B5" s="2" t="s">
        <v>38</v>
      </c>
      <c r="C5" s="4" t="str">
        <f>DEC2HEX(HEX2DEC(E4)+1)</f>
        <v>6098</v>
      </c>
      <c r="D5" s="3">
        <v>154</v>
      </c>
      <c r="E5" s="4" t="str">
        <f t="shared" ref="E5:E23" si="0">DEC2HEX(HEX2DEC(C5) +D5)</f>
        <v>6132</v>
      </c>
      <c r="G5" s="6" t="s">
        <v>5</v>
      </c>
      <c r="H5" s="6" t="s">
        <v>1</v>
      </c>
      <c r="I5" s="7" t="s">
        <v>2</v>
      </c>
      <c r="J5" s="6" t="s">
        <v>3</v>
      </c>
      <c r="L5" s="6" t="s">
        <v>5</v>
      </c>
      <c r="M5" s="6" t="s">
        <v>1</v>
      </c>
      <c r="N5" s="7" t="s">
        <v>2</v>
      </c>
      <c r="O5" s="6" t="s">
        <v>3</v>
      </c>
    </row>
    <row r="6" spans="2:15" ht="15">
      <c r="B6" s="2" t="s">
        <v>39</v>
      </c>
      <c r="C6" s="4" t="str">
        <f t="shared" ref="C6:C23" si="1">DEC2HEX(HEX2DEC(E5)+1)</f>
        <v>6133</v>
      </c>
      <c r="D6" s="3">
        <v>158</v>
      </c>
      <c r="E6" s="4" t="str">
        <f t="shared" si="0"/>
        <v>61D1</v>
      </c>
      <c r="G6" s="2" t="s">
        <v>0</v>
      </c>
      <c r="H6" s="3">
        <v>9000</v>
      </c>
      <c r="I6" s="3">
        <v>5120</v>
      </c>
      <c r="J6" s="3" t="str">
        <f>DEC2HEX(HEX2DEC(H6) +I6)</f>
        <v>A400</v>
      </c>
      <c r="L6" s="2" t="s">
        <v>16</v>
      </c>
      <c r="M6" s="3">
        <v>9000</v>
      </c>
      <c r="N6" s="3">
        <v>1024</v>
      </c>
      <c r="O6" s="3" t="str">
        <f>DEC2HEX(HEX2DEC(M6) +N6)</f>
        <v>9400</v>
      </c>
    </row>
    <row r="7" spans="2:15" ht="15">
      <c r="B7" s="2" t="s">
        <v>40</v>
      </c>
      <c r="C7" s="4" t="str">
        <f t="shared" si="1"/>
        <v>61D2</v>
      </c>
      <c r="D7" s="3">
        <v>151</v>
      </c>
      <c r="E7" s="4" t="str">
        <f t="shared" si="0"/>
        <v>6269</v>
      </c>
      <c r="G7" s="2" t="s">
        <v>4</v>
      </c>
      <c r="H7" s="3" t="str">
        <f>J6</f>
        <v>A400</v>
      </c>
      <c r="I7" s="3">
        <v>1000</v>
      </c>
      <c r="J7" s="3" t="str">
        <f>DEC2HEX(HEX2DEC(H7) +I7)</f>
        <v>A7E8</v>
      </c>
      <c r="L7" s="2" t="s">
        <v>17</v>
      </c>
      <c r="M7" s="3" t="str">
        <f>O6</f>
        <v>9400</v>
      </c>
      <c r="N7" s="3">
        <v>1000</v>
      </c>
      <c r="O7" s="3" t="str">
        <f>DEC2HEX(HEX2DEC(M7) +N7)</f>
        <v>97E8</v>
      </c>
    </row>
    <row r="8" spans="2:15" ht="15">
      <c r="B8" s="2" t="s">
        <v>41</v>
      </c>
      <c r="C8" s="4" t="str">
        <f t="shared" si="1"/>
        <v>626A</v>
      </c>
      <c r="D8" s="3">
        <v>152</v>
      </c>
      <c r="E8" s="4" t="str">
        <f t="shared" si="0"/>
        <v>6302</v>
      </c>
      <c r="G8" s="2"/>
      <c r="H8" s="3"/>
      <c r="I8" s="3"/>
      <c r="J8" s="3"/>
    </row>
    <row r="9" spans="2:15" ht="15">
      <c r="B9" s="2" t="s">
        <v>42</v>
      </c>
      <c r="C9" s="4" t="str">
        <f t="shared" si="1"/>
        <v>6303</v>
      </c>
      <c r="D9" s="3">
        <v>152</v>
      </c>
      <c r="E9" s="4" t="str">
        <f t="shared" si="0"/>
        <v>639B</v>
      </c>
      <c r="G9" s="9" t="s">
        <v>9</v>
      </c>
      <c r="H9" s="3"/>
      <c r="I9" s="3"/>
      <c r="J9" s="3"/>
      <c r="L9" s="9" t="s">
        <v>21</v>
      </c>
    </row>
    <row r="10" spans="2:15" ht="15">
      <c r="B10" s="2" t="s">
        <v>43</v>
      </c>
      <c r="C10" s="4" t="str">
        <f t="shared" si="1"/>
        <v>639C</v>
      </c>
      <c r="D10" s="3">
        <v>149</v>
      </c>
      <c r="E10" s="4" t="str">
        <f t="shared" si="0"/>
        <v>6431</v>
      </c>
    </row>
    <row r="11" spans="2:15" ht="15">
      <c r="B11" s="2" t="s">
        <v>44</v>
      </c>
      <c r="C11" s="4" t="str">
        <f t="shared" si="1"/>
        <v>6432</v>
      </c>
      <c r="D11" s="3">
        <v>154</v>
      </c>
      <c r="E11" s="4" t="str">
        <f t="shared" si="0"/>
        <v>64CC</v>
      </c>
      <c r="G11" s="6" t="s">
        <v>5</v>
      </c>
      <c r="H11" s="6" t="s">
        <v>1</v>
      </c>
      <c r="I11" s="7" t="s">
        <v>2</v>
      </c>
      <c r="J11" s="6" t="s">
        <v>3</v>
      </c>
      <c r="L11" s="6" t="s">
        <v>5</v>
      </c>
      <c r="M11" s="6" t="s">
        <v>1</v>
      </c>
      <c r="N11" s="7" t="s">
        <v>2</v>
      </c>
      <c r="O11" s="6" t="s">
        <v>3</v>
      </c>
    </row>
    <row r="12" spans="2:15" ht="15">
      <c r="B12" s="2" t="s">
        <v>45</v>
      </c>
      <c r="C12" s="4" t="str">
        <f t="shared" si="1"/>
        <v>64CD</v>
      </c>
      <c r="D12" s="3">
        <v>155</v>
      </c>
      <c r="E12" s="4" t="str">
        <f t="shared" si="0"/>
        <v>6568</v>
      </c>
      <c r="G12" s="8" t="s">
        <v>10</v>
      </c>
      <c r="H12" s="3">
        <v>9000</v>
      </c>
      <c r="I12" s="3">
        <v>1024</v>
      </c>
      <c r="J12" s="3" t="str">
        <f>DEC2HEX(HEX2DEC(H12) +I12)</f>
        <v>9400</v>
      </c>
      <c r="L12" s="2" t="s">
        <v>18</v>
      </c>
      <c r="M12" s="3">
        <v>9000</v>
      </c>
      <c r="N12" s="3">
        <v>2048</v>
      </c>
      <c r="O12" s="3" t="str">
        <f>DEC2HEX(HEX2DEC(M12) +N12)</f>
        <v>9800</v>
      </c>
    </row>
    <row r="13" spans="2:15" ht="15">
      <c r="B13" s="2" t="s">
        <v>46</v>
      </c>
      <c r="C13" s="4" t="str">
        <f t="shared" si="1"/>
        <v>6569</v>
      </c>
      <c r="D13" s="3">
        <v>156</v>
      </c>
      <c r="E13" s="4" t="str">
        <f t="shared" si="0"/>
        <v>6605</v>
      </c>
      <c r="G13" s="8" t="s">
        <v>7</v>
      </c>
      <c r="H13" s="3">
        <v>9400</v>
      </c>
      <c r="I13" s="3">
        <f>24*40</f>
        <v>960</v>
      </c>
      <c r="J13" s="3" t="str">
        <f>DEC2HEX(HEX2DEC(H13) +I13)</f>
        <v>97C0</v>
      </c>
      <c r="L13" s="2" t="s">
        <v>19</v>
      </c>
      <c r="M13" s="3" t="str">
        <f>O12</f>
        <v>9800</v>
      </c>
      <c r="N13" s="3">
        <v>1200</v>
      </c>
      <c r="O13" s="3" t="str">
        <f>DEC2HEX(HEX2DEC(M13) +N13)</f>
        <v>9CB0</v>
      </c>
    </row>
    <row r="14" spans="2:15" ht="15">
      <c r="B14" s="2" t="s">
        <v>63</v>
      </c>
      <c r="C14" s="4" t="str">
        <f t="shared" si="1"/>
        <v>6606</v>
      </c>
      <c r="D14" s="3">
        <v>149</v>
      </c>
      <c r="E14" s="4" t="str">
        <f t="shared" si="0"/>
        <v>669B</v>
      </c>
      <c r="G14" s="8" t="s">
        <v>8</v>
      </c>
      <c r="H14" s="3">
        <v>9800</v>
      </c>
      <c r="I14" s="3">
        <v>960</v>
      </c>
      <c r="J14" s="3" t="str">
        <f>DEC2HEX(HEX2DEC(H14) +I14)</f>
        <v>9BC0</v>
      </c>
      <c r="L14" s="2" t="s">
        <v>20</v>
      </c>
      <c r="M14" s="3" t="s">
        <v>13</v>
      </c>
      <c r="N14" s="3">
        <v>1024</v>
      </c>
      <c r="O14" s="3" t="str">
        <f>DEC2HEX(HEX2DEC(M14) +N14)</f>
        <v>A000</v>
      </c>
    </row>
    <row r="15" spans="2:15" ht="15">
      <c r="B15" s="2" t="s">
        <v>64</v>
      </c>
      <c r="C15" s="4" t="str">
        <f t="shared" si="1"/>
        <v>669C</v>
      </c>
      <c r="D15" s="3">
        <v>153</v>
      </c>
      <c r="E15" s="4" t="str">
        <f t="shared" si="0"/>
        <v>6735</v>
      </c>
      <c r="G15" s="8" t="s">
        <v>11</v>
      </c>
      <c r="H15" s="3" t="s">
        <v>13</v>
      </c>
      <c r="I15" s="3">
        <v>120</v>
      </c>
      <c r="J15" s="3" t="str">
        <f>DEC2HEX(HEX2DEC(H15) +I15)</f>
        <v>9C78</v>
      </c>
      <c r="L15" s="2"/>
    </row>
    <row r="16" spans="2:15" ht="15">
      <c r="B16" s="2" t="s">
        <v>65</v>
      </c>
      <c r="C16" s="4" t="str">
        <f t="shared" si="1"/>
        <v>6736</v>
      </c>
      <c r="D16" s="3">
        <v>153</v>
      </c>
      <c r="E16" s="4" t="str">
        <f t="shared" si="0"/>
        <v>67CF</v>
      </c>
      <c r="G16" s="8" t="s">
        <v>12</v>
      </c>
      <c r="H16" s="3" t="s">
        <v>14</v>
      </c>
      <c r="I16" s="3">
        <v>120</v>
      </c>
      <c r="J16" s="3" t="str">
        <f>DEC2HEX(HEX2DEC(H16) +I16)</f>
        <v>9D78</v>
      </c>
      <c r="L16" s="9" t="s">
        <v>56</v>
      </c>
    </row>
    <row r="17" spans="2:15" ht="15">
      <c r="B17" s="2" t="s">
        <v>66</v>
      </c>
      <c r="C17" s="4" t="str">
        <f t="shared" si="1"/>
        <v>67D0</v>
      </c>
      <c r="D17" s="3">
        <v>149</v>
      </c>
      <c r="E17" s="4" t="str">
        <f t="shared" si="0"/>
        <v>6865</v>
      </c>
      <c r="G17" s="8" t="s">
        <v>23</v>
      </c>
      <c r="H17" s="3" t="s">
        <v>24</v>
      </c>
    </row>
    <row r="18" spans="2:15" ht="15">
      <c r="B18" s="2" t="s">
        <v>67</v>
      </c>
      <c r="C18" s="4" t="str">
        <f t="shared" si="1"/>
        <v>6866</v>
      </c>
      <c r="D18" s="3">
        <v>146</v>
      </c>
      <c r="E18" s="4" t="str">
        <f t="shared" si="0"/>
        <v>68F8</v>
      </c>
      <c r="G18" s="8" t="s">
        <v>25</v>
      </c>
      <c r="H18" s="3" t="s">
        <v>35</v>
      </c>
      <c r="L18" s="6" t="s">
        <v>5</v>
      </c>
      <c r="M18" s="6" t="s">
        <v>1</v>
      </c>
      <c r="N18" s="7" t="s">
        <v>2</v>
      </c>
      <c r="O18" s="6" t="s">
        <v>3</v>
      </c>
    </row>
    <row r="19" spans="2:15" ht="15">
      <c r="B19" s="2" t="s">
        <v>68</v>
      </c>
      <c r="C19" s="4" t="str">
        <f t="shared" si="1"/>
        <v>68F9</v>
      </c>
      <c r="D19" s="3">
        <v>152</v>
      </c>
      <c r="E19" s="4" t="str">
        <f t="shared" si="0"/>
        <v>6991</v>
      </c>
      <c r="G19" s="8" t="s">
        <v>27</v>
      </c>
      <c r="H19" s="3" t="s">
        <v>26</v>
      </c>
      <c r="L19" s="2" t="s">
        <v>18</v>
      </c>
      <c r="M19" s="3">
        <v>9000</v>
      </c>
      <c r="N19" s="3">
        <v>2048</v>
      </c>
      <c r="O19" s="3" t="str">
        <f>DEC2HEX(HEX2DEC(M19) +N19)</f>
        <v>9800</v>
      </c>
    </row>
    <row r="20" spans="2:15" ht="15">
      <c r="B20" s="2" t="s">
        <v>69</v>
      </c>
      <c r="C20" s="4" t="str">
        <f t="shared" si="1"/>
        <v>6992</v>
      </c>
      <c r="D20" s="3">
        <v>154</v>
      </c>
      <c r="E20" s="4" t="str">
        <f t="shared" si="0"/>
        <v>6A2C</v>
      </c>
      <c r="G20" s="8" t="s">
        <v>29</v>
      </c>
      <c r="H20" s="3" t="s">
        <v>28</v>
      </c>
      <c r="L20" s="2" t="s">
        <v>19</v>
      </c>
      <c r="M20" s="3" t="str">
        <f>O19</f>
        <v>9800</v>
      </c>
      <c r="N20" s="3">
        <v>480</v>
      </c>
      <c r="O20" s="3" t="str">
        <f>DEC2HEX(HEX2DEC(M20) +N20)</f>
        <v>99E0</v>
      </c>
    </row>
    <row r="21" spans="2:15" ht="15">
      <c r="B21" s="2" t="s">
        <v>70</v>
      </c>
      <c r="C21" s="4" t="str">
        <f t="shared" si="1"/>
        <v>6A2D</v>
      </c>
      <c r="D21" s="3">
        <v>153</v>
      </c>
      <c r="E21" s="4" t="str">
        <f t="shared" si="0"/>
        <v>6AC6</v>
      </c>
      <c r="G21" s="8" t="s">
        <v>30</v>
      </c>
      <c r="H21" s="3" t="s">
        <v>32</v>
      </c>
      <c r="L21" s="2" t="s">
        <v>57</v>
      </c>
      <c r="M21" s="3" t="str">
        <f t="shared" ref="M21" si="2">O20</f>
        <v>99E0</v>
      </c>
      <c r="N21" s="3">
        <v>1320</v>
      </c>
      <c r="O21" s="3" t="str">
        <f>DEC2HEX(HEX2DEC(M21) +N21)</f>
        <v>9F08</v>
      </c>
    </row>
    <row r="22" spans="2:15" ht="15">
      <c r="B22" s="2" t="s">
        <v>71</v>
      </c>
      <c r="C22" s="4" t="str">
        <f t="shared" si="1"/>
        <v>6AC7</v>
      </c>
      <c r="D22" s="3">
        <v>152</v>
      </c>
      <c r="E22" s="4" t="str">
        <f t="shared" si="0"/>
        <v>6B5F</v>
      </c>
      <c r="G22" s="8" t="s">
        <v>31</v>
      </c>
      <c r="H22" s="3" t="s">
        <v>33</v>
      </c>
      <c r="L22" s="2" t="s">
        <v>20</v>
      </c>
      <c r="M22" s="3" t="s">
        <v>24</v>
      </c>
      <c r="N22" s="3">
        <v>1024</v>
      </c>
      <c r="O22" s="3" t="str">
        <f>DEC2HEX(HEX2DEC(M22) +N22)</f>
        <v>A400</v>
      </c>
    </row>
    <row r="23" spans="2:15" ht="15">
      <c r="B23" s="2" t="s">
        <v>72</v>
      </c>
      <c r="C23" s="4" t="str">
        <f t="shared" si="1"/>
        <v>6B60</v>
      </c>
      <c r="D23" s="3">
        <v>152</v>
      </c>
      <c r="E23" s="4" t="str">
        <f t="shared" si="0"/>
        <v>6BF8</v>
      </c>
      <c r="G23" s="8" t="s">
        <v>36</v>
      </c>
      <c r="H23" s="3" t="s">
        <v>34</v>
      </c>
    </row>
    <row r="24" spans="2:15" ht="15">
      <c r="B24" s="2" t="s">
        <v>47</v>
      </c>
      <c r="C24" s="3">
        <v>7000</v>
      </c>
      <c r="D24" s="4">
        <v>2300</v>
      </c>
      <c r="E24" s="4" t="str">
        <f>DEC2HEX(HEX2DEC(C24) +D24)</f>
        <v>78FC</v>
      </c>
      <c r="G24" s="8"/>
      <c r="H24" s="3"/>
    </row>
    <row r="25" spans="2:15" ht="15">
      <c r="B25" s="2" t="s">
        <v>48</v>
      </c>
      <c r="C25" s="4" t="str">
        <f>DEC2HEX(HEX2DEC(E24)+1)</f>
        <v>78FD</v>
      </c>
      <c r="D25" s="4">
        <v>542</v>
      </c>
      <c r="E25" s="4" t="str">
        <f>DEC2HEX(HEX2DEC(C25) +D25)</f>
        <v>7B1B</v>
      </c>
      <c r="G25" s="8"/>
      <c r="H25" s="3"/>
    </row>
    <row r="26" spans="2:15" ht="15">
      <c r="B26" s="2" t="s">
        <v>49</v>
      </c>
      <c r="C26" s="4" t="str">
        <f>DEC2HEX(HEX2DEC(E25)+1)</f>
        <v>7B1C</v>
      </c>
      <c r="D26" s="4">
        <v>585</v>
      </c>
      <c r="E26" s="4" t="str">
        <f t="shared" ref="E26:E36" si="3">DEC2HEX(HEX2DEC(C26) +D26)</f>
        <v>7D65</v>
      </c>
      <c r="G26" s="8"/>
      <c r="H26" s="3"/>
    </row>
    <row r="27" spans="2:15" ht="15">
      <c r="B27" s="2" t="s">
        <v>50</v>
      </c>
      <c r="C27" s="4" t="str">
        <f t="shared" ref="C27:C36" si="4">DEC2HEX(HEX2DEC(E26)+1)</f>
        <v>7D66</v>
      </c>
      <c r="D27" s="4">
        <v>822</v>
      </c>
      <c r="E27" s="4" t="str">
        <f t="shared" si="3"/>
        <v>809C</v>
      </c>
      <c r="G27" s="8"/>
      <c r="H27" s="3"/>
    </row>
    <row r="28" spans="2:15" ht="15">
      <c r="B28" s="2" t="s">
        <v>51</v>
      </c>
      <c r="C28" s="4" t="str">
        <f t="shared" si="4"/>
        <v>809D</v>
      </c>
      <c r="D28" s="4">
        <v>233</v>
      </c>
      <c r="E28" s="4" t="str">
        <f t="shared" si="3"/>
        <v>8186</v>
      </c>
    </row>
    <row r="29" spans="2:15" ht="15" customHeight="1">
      <c r="B29" s="2" t="s">
        <v>52</v>
      </c>
      <c r="C29" s="4" t="str">
        <f t="shared" si="4"/>
        <v>8187</v>
      </c>
      <c r="D29" s="4">
        <v>657</v>
      </c>
      <c r="E29" s="4" t="str">
        <f t="shared" si="3"/>
        <v>8418</v>
      </c>
    </row>
    <row r="30" spans="2:15" ht="14.25" customHeight="1">
      <c r="B30" s="2" t="s">
        <v>53</v>
      </c>
      <c r="C30" s="4" t="str">
        <f t="shared" si="4"/>
        <v>8419</v>
      </c>
      <c r="D30" s="4">
        <v>26</v>
      </c>
      <c r="E30" s="4" t="str">
        <f t="shared" si="3"/>
        <v>8433</v>
      </c>
    </row>
    <row r="31" spans="2:15" ht="14.25" customHeight="1">
      <c r="B31" s="2" t="s">
        <v>54</v>
      </c>
      <c r="C31" s="4" t="str">
        <f t="shared" si="4"/>
        <v>8434</v>
      </c>
      <c r="D31" s="4">
        <v>359</v>
      </c>
      <c r="E31" s="4" t="str">
        <f t="shared" si="3"/>
        <v>859B</v>
      </c>
    </row>
    <row r="32" spans="2:15" ht="14.25" customHeight="1">
      <c r="B32" s="2" t="s">
        <v>55</v>
      </c>
      <c r="C32" s="4" t="str">
        <f t="shared" si="4"/>
        <v>859C</v>
      </c>
      <c r="D32" s="4">
        <v>634</v>
      </c>
      <c r="E32" s="4" t="str">
        <f t="shared" si="3"/>
        <v>8816</v>
      </c>
    </row>
    <row r="33" spans="2:5" ht="14.25" customHeight="1">
      <c r="B33" s="2" t="s">
        <v>58</v>
      </c>
      <c r="C33" s="4" t="str">
        <f t="shared" si="4"/>
        <v>8817</v>
      </c>
      <c r="D33" s="4">
        <v>667</v>
      </c>
      <c r="E33" s="4" t="str">
        <f t="shared" si="3"/>
        <v>8AB2</v>
      </c>
    </row>
    <row r="34" spans="2:5" ht="14.25" customHeight="1">
      <c r="B34" s="2" t="s">
        <v>59</v>
      </c>
      <c r="C34" s="4" t="str">
        <f t="shared" si="4"/>
        <v>8AB3</v>
      </c>
      <c r="D34" s="4">
        <v>177</v>
      </c>
      <c r="E34" s="4" t="str">
        <f t="shared" si="3"/>
        <v>8B64</v>
      </c>
    </row>
    <row r="35" spans="2:5" ht="14.25" customHeight="1">
      <c r="B35" s="2" t="s">
        <v>60</v>
      </c>
      <c r="C35" s="4" t="str">
        <f t="shared" si="4"/>
        <v>8B65</v>
      </c>
      <c r="D35" s="4">
        <v>441</v>
      </c>
      <c r="E35" s="4" t="str">
        <f t="shared" si="3"/>
        <v>8D1E</v>
      </c>
    </row>
    <row r="36" spans="2:5" ht="14.25" customHeight="1">
      <c r="B36" s="2" t="s">
        <v>61</v>
      </c>
      <c r="C36" s="4" t="str">
        <f t="shared" si="4"/>
        <v>8D1F</v>
      </c>
      <c r="D36" s="4">
        <v>339</v>
      </c>
      <c r="E36" s="4" t="str">
        <f t="shared" si="3"/>
        <v>8E72</v>
      </c>
    </row>
    <row r="37" spans="2:5" ht="14.25" customHeight="1">
      <c r="B37" s="2"/>
      <c r="C37" s="4"/>
      <c r="D37" s="4"/>
      <c r="E37" s="4"/>
    </row>
    <row r="38" spans="2:5" ht="14.25" customHeight="1">
      <c r="B38" s="2"/>
      <c r="C38" s="4"/>
      <c r="D38" s="4"/>
      <c r="E38" s="4"/>
    </row>
    <row r="39" spans="2:5" ht="14.25" customHeight="1">
      <c r="B39" s="11" t="s">
        <v>73</v>
      </c>
      <c r="C39" s="10"/>
      <c r="D39" s="10"/>
      <c r="E39" s="10"/>
    </row>
    <row r="40" spans="2:5" ht="14.25" customHeight="1">
      <c r="B40" s="11"/>
      <c r="C40" s="10"/>
      <c r="D40" s="10"/>
      <c r="E40" s="10"/>
    </row>
    <row r="41" spans="2:5" ht="14.25" customHeight="1">
      <c r="B41" s="11"/>
      <c r="C41" s="10"/>
      <c r="D41" s="10"/>
      <c r="E41" s="10"/>
    </row>
    <row r="42" spans="2:5" ht="14.25" customHeight="1">
      <c r="B42" s="11"/>
      <c r="C42" s="10"/>
      <c r="D42" s="10"/>
      <c r="E42" s="10"/>
    </row>
    <row r="43" spans="2:5" ht="14.25" customHeight="1">
      <c r="B43" s="11"/>
      <c r="C43" s="10"/>
      <c r="D43" s="10"/>
      <c r="E43" s="10"/>
    </row>
    <row r="44" spans="2:5" ht="14.25" customHeight="1">
      <c r="B44" s="11"/>
      <c r="C44" s="10"/>
      <c r="D44" s="10"/>
      <c r="E44" s="10"/>
    </row>
    <row r="45" spans="2:5" ht="14.25" customHeight="1">
      <c r="B45" s="11"/>
      <c r="C45" s="10"/>
      <c r="D45" s="10"/>
      <c r="E45" s="10"/>
    </row>
    <row r="46" spans="2:5" ht="14.25" customHeight="1">
      <c r="B46" s="11"/>
      <c r="C46" s="10"/>
      <c r="D46" s="10"/>
      <c r="E46" s="10"/>
    </row>
    <row r="47" spans="2:5" ht="14.25" customHeight="1">
      <c r="B47" s="11"/>
      <c r="C47" s="10"/>
      <c r="D47" s="10"/>
      <c r="E47" s="10"/>
    </row>
    <row r="48" spans="2:5" ht="14.25" customHeight="1">
      <c r="B48" s="11"/>
      <c r="C48" s="10"/>
      <c r="D48" s="10"/>
      <c r="E48" s="10"/>
    </row>
    <row r="49" spans="2:2" ht="14.25" customHeight="1">
      <c r="B49" s="11"/>
    </row>
    <row r="50" spans="2:2" ht="14.25" customHeight="1">
      <c r="B50" s="11"/>
    </row>
    <row r="51" spans="2:2" ht="14.25" customHeight="1">
      <c r="B51" s="11"/>
    </row>
    <row r="52" spans="2:2" ht="14.25" customHeight="1">
      <c r="B52" s="11"/>
    </row>
    <row r="53" spans="2:2" ht="14.25" customHeight="1">
      <c r="B53" s="11"/>
    </row>
    <row r="54" spans="2:2" ht="14.25" customHeight="1">
      <c r="B54" s="11"/>
    </row>
    <row r="55" spans="2:2" ht="14.25" customHeight="1">
      <c r="B55" s="11"/>
    </row>
    <row r="56" spans="2:2" ht="14.25" customHeight="1">
      <c r="B56" s="11"/>
    </row>
    <row r="57" spans="2:2" ht="14.25" customHeight="1">
      <c r="B57" s="11"/>
    </row>
    <row r="58" spans="2:2" ht="14.25" customHeight="1">
      <c r="B58" s="11"/>
    </row>
    <row r="59" spans="2:2" ht="14.25" customHeight="1">
      <c r="B59" s="11"/>
    </row>
    <row r="60" spans="2:2" ht="14.25" customHeight="1">
      <c r="B60" s="11"/>
    </row>
    <row r="61" spans="2:2" ht="14.25" customHeight="1">
      <c r="B61" s="11"/>
    </row>
    <row r="62" spans="2:2" ht="14.25" customHeight="1">
      <c r="B62" s="11"/>
    </row>
    <row r="63" spans="2:2" ht="14.25" customHeight="1">
      <c r="B63" s="11"/>
    </row>
    <row r="64" spans="2:2">
      <c r="B64" s="11"/>
    </row>
    <row r="65" spans="2:2">
      <c r="B65" s="11"/>
    </row>
    <row r="66" spans="2:2">
      <c r="B66" s="11"/>
    </row>
    <row r="67" spans="2:2">
      <c r="B67" s="11"/>
    </row>
    <row r="68" spans="2:2">
      <c r="B68" s="11"/>
    </row>
    <row r="69" spans="2:2">
      <c r="B69" s="11"/>
    </row>
    <row r="70" spans="2:2">
      <c r="B70" s="11"/>
    </row>
    <row r="71" spans="2:2">
      <c r="B71" s="11"/>
    </row>
    <row r="72" spans="2:2">
      <c r="B72" s="11"/>
    </row>
    <row r="73" spans="2:2">
      <c r="B73" s="11"/>
    </row>
    <row r="74" spans="2:2">
      <c r="B74" s="11"/>
    </row>
    <row r="75" spans="2:2">
      <c r="B75" s="11"/>
    </row>
    <row r="76" spans="2:2">
      <c r="B76" s="11"/>
    </row>
  </sheetData>
  <mergeCells count="1">
    <mergeCell ref="B39:B7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Koźmiński</dc:creator>
  <cp:lastModifiedBy>Daniel Koźmiński</cp:lastModifiedBy>
  <dcterms:created xsi:type="dcterms:W3CDTF">2023-12-24T11:08:26Z</dcterms:created>
  <dcterms:modified xsi:type="dcterms:W3CDTF">2024-01-12T21:46:50Z</dcterms:modified>
</cp:coreProperties>
</file>